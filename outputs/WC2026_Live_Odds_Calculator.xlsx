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Calculator" sheetId="1" state="visible" r:id="rId1"/>
    <sheet name="Rating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1"/>
    </font>
    <font>
      <i val="1"/>
      <color rgb="00808080"/>
      <sz val="9"/>
    </font>
    <font>
      <color rgb="00808080"/>
      <sz val="9"/>
    </font>
    <font>
      <color rgb="00AAAAAA"/>
      <sz val="8"/>
    </font>
    <font>
      <color rgb="00C0C0C0"/>
      <sz val="8"/>
    </font>
    <font>
      <b val="1"/>
      <color rgb="001F3864"/>
      <sz val="26"/>
    </font>
    <font>
      <b val="1"/>
      <sz val="14"/>
    </font>
    <font>
      <i val="1"/>
    </font>
    <font>
      <b val="1"/>
      <color rgb="001F3864"/>
      <sz val="13"/>
    </font>
    <font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1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3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B1" s="1" t="inlineStr">
        <is>
          <t xml:space="preserve">  2026 WORLD CUP — LIVE ODDS &amp; DRAW-PROBABILITY CALCULATOR</t>
        </is>
      </c>
    </row>
    <row r="2">
      <c r="B2" s="2" t="inlineStr">
        <is>
          <t>Type into the YELLOW cells only. Green cells are the answer. Prices are 0–1 (e.g. 27¢ = 0.27). Leave market prices blank to see model-only.</t>
        </is>
      </c>
    </row>
    <row r="4">
      <c r="B4" s="3" t="inlineStr">
        <is>
          <t>INPUTS</t>
        </is>
      </c>
      <c r="E4" s="3" t="inlineStr">
        <is>
          <t>RESULTS</t>
        </is>
      </c>
    </row>
    <row r="5">
      <c r="B5" s="4" t="inlineStr">
        <is>
          <t>Home team</t>
        </is>
      </c>
      <c r="C5" s="5" t="inlineStr">
        <is>
          <t>Brazil</t>
        </is>
      </c>
      <c r="E5" s="6" t="inlineStr">
        <is>
          <t>Outcome</t>
        </is>
      </c>
      <c r="F5" s="6" t="inlineStr">
        <is>
          <t>Model</t>
        </is>
      </c>
      <c r="G5" s="6" t="inlineStr">
        <is>
          <t>Market</t>
        </is>
      </c>
      <c r="H5" s="6" t="inlineStr">
        <is>
          <t>Blended (fair)</t>
        </is>
      </c>
      <c r="I5" s="6" t="inlineStr">
        <is>
          <t>Price paid</t>
        </is>
      </c>
      <c r="J5" s="6" t="inlineStr">
        <is>
          <t>Edge</t>
        </is>
      </c>
    </row>
    <row r="6">
      <c r="B6" s="4" t="inlineStr">
        <is>
          <t>Away team</t>
        </is>
      </c>
      <c r="C6" s="5" t="inlineStr">
        <is>
          <t>Haiti</t>
        </is>
      </c>
      <c r="E6" s="4" t="inlineStr">
        <is>
          <t>Home win</t>
        </is>
      </c>
      <c r="F6" s="7">
        <f>$C$53</f>
        <v/>
      </c>
      <c r="G6" s="7">
        <f>$C$58</f>
        <v/>
      </c>
      <c r="H6" s="8">
        <f>$C$61/$C$64</f>
        <v/>
      </c>
      <c r="I6" s="7">
        <f>$C$10</f>
        <v/>
      </c>
      <c r="J6" s="9">
        <f>$C$61/$C$64-$C$10</f>
        <v/>
      </c>
    </row>
    <row r="7">
      <c r="B7" s="4" t="inlineStr">
        <is>
          <t>Home score (now)</t>
        </is>
      </c>
      <c r="C7" s="5" t="n">
        <v>0</v>
      </c>
      <c r="E7" s="4" t="inlineStr">
        <is>
          <t>Draw</t>
        </is>
      </c>
      <c r="F7" s="7">
        <f>$C$54</f>
        <v/>
      </c>
      <c r="G7" s="7">
        <f>$C$59</f>
        <v/>
      </c>
      <c r="H7" s="8">
        <f>$C$62/$C$64</f>
        <v/>
      </c>
      <c r="I7" s="7">
        <f>$C$11</f>
        <v/>
      </c>
      <c r="J7" s="9">
        <f>$C$62/$C$64-$C$11</f>
        <v/>
      </c>
    </row>
    <row r="8">
      <c r="B8" s="4" t="inlineStr">
        <is>
          <t>Away score (now)</t>
        </is>
      </c>
      <c r="C8" s="5" t="n">
        <v>0</v>
      </c>
      <c r="E8" s="4" t="inlineStr">
        <is>
          <t>Away win</t>
        </is>
      </c>
      <c r="F8" s="7">
        <f>$C$55</f>
        <v/>
      </c>
      <c r="G8" s="7">
        <f>$C$60</f>
        <v/>
      </c>
      <c r="H8" s="8">
        <f>$C$63/$C$64</f>
        <v/>
      </c>
      <c r="I8" s="7">
        <f>$C$12</f>
        <v/>
      </c>
      <c r="J8" s="9">
        <f>$C$63/$C$64-$C$12</f>
        <v/>
      </c>
    </row>
    <row r="9">
      <c r="B9" s="4" t="inlineStr">
        <is>
          <t>Minute (0–94)</t>
        </is>
      </c>
      <c r="C9" s="5" t="n">
        <v>0</v>
      </c>
    </row>
    <row r="10">
      <c r="B10" s="4" t="inlineStr">
        <is>
          <t>Polymarket: Home price</t>
        </is>
      </c>
      <c r="C10" s="5" t="n">
        <v>0</v>
      </c>
    </row>
    <row r="11">
      <c r="B11" s="4" t="inlineStr">
        <is>
          <t>Polymarket: Draw price</t>
        </is>
      </c>
      <c r="C11" s="5" t="n">
        <v>0</v>
      </c>
      <c r="E11" s="10" t="inlineStr">
        <is>
          <t>PROBABILITY OF A DRAW (blended fair)</t>
        </is>
      </c>
    </row>
    <row r="12">
      <c r="B12" s="4" t="inlineStr">
        <is>
          <t>Polymarket: Away price</t>
        </is>
      </c>
      <c r="C12" s="5" t="n">
        <v>0</v>
      </c>
      <c r="E12" s="11">
        <f>TEXT($C$62/$C$64,"0.0%")</f>
        <v/>
      </c>
      <c r="H12" s="12">
        <f>IF(($C$62/$C$64)-$C$11&gt;0.04,"DRAW UNDERPRICED → value BUY",IF(($C$62/$C$64)-$C$11&lt;-0.04,"DRAW OVERPRICED → avoid / SELL",IF($C$11=0,"(enter draw price for a verdict)","DRAW fairly priced → no edge")))</f>
        <v/>
      </c>
    </row>
    <row r="13">
      <c r="B13" s="4" t="inlineStr">
        <is>
          <t>Blend weight on market</t>
        </is>
      </c>
      <c r="C13" s="5" t="n">
        <v>0.6</v>
      </c>
    </row>
    <row r="14">
      <c r="E14" s="13">
        <f>CONCATENATE("Model draw ",TEXT($C$54,"0.0%"),"  |  Market draw ",TEXT($C$59,"0.0%"),"  |  You pay ",TEXT($C$11*100,"0"),"¢  |  Fair ",TEXT($C$62/$C$64,"0.0%"))</f>
        <v/>
      </c>
    </row>
    <row r="16">
      <c r="B16" s="3" t="inlineStr">
        <is>
          <t>ENGINE (auto — do not edit)</t>
        </is>
      </c>
    </row>
    <row r="17">
      <c r="B17" s="14" t="inlineStr">
        <is>
          <t>atk_home</t>
        </is>
      </c>
      <c r="C17" s="15">
        <f>VLOOKUP($C$5,Ratings!$A:$C,2,FALSE)</f>
        <v/>
      </c>
    </row>
    <row r="18">
      <c r="B18" s="14" t="inlineStr">
        <is>
          <t>dfn_home</t>
        </is>
      </c>
      <c r="C18" s="15">
        <f>VLOOKUP($C$5,Ratings!$A:$C,3,FALSE)</f>
        <v/>
      </c>
    </row>
    <row r="19">
      <c r="B19" s="14" t="inlineStr">
        <is>
          <t>atk_away</t>
        </is>
      </c>
      <c r="C19" s="15">
        <f>VLOOKUP($C$6,Ratings!$A:$C,2,FALSE)</f>
        <v/>
      </c>
    </row>
    <row r="20">
      <c r="B20" s="14" t="inlineStr">
        <is>
          <t>dfn_away</t>
        </is>
      </c>
      <c r="C20" s="15">
        <f>VLOOKUP($C$6,Ratings!$A:$C,3,FALSE)</f>
        <v/>
      </c>
    </row>
    <row r="21">
      <c r="B21" s="14" t="inlineStr">
        <is>
          <t>host_home</t>
        </is>
      </c>
      <c r="C21" s="15">
        <f>IF(ISNUMBER(MATCH($C$5,Ratings!$H:$H,0)),1,0)</f>
        <v/>
      </c>
    </row>
    <row r="22">
      <c r="B22" s="14" t="inlineStr">
        <is>
          <t>host_away</t>
        </is>
      </c>
      <c r="C22" s="15">
        <f>IF(ISNUMBER(MATCH($C$6,Ratings!$H:$H,0)),1,0)</f>
        <v/>
      </c>
    </row>
    <row r="23">
      <c r="B23" s="14" t="inlineStr">
        <is>
          <t>xG home (pre)</t>
        </is>
      </c>
      <c r="C23" s="15">
        <f>EXP(Ratings!$F$1+$C$17-$C$20+Ratings!$F$2*$C$21)</f>
        <v/>
      </c>
    </row>
    <row r="24">
      <c r="B24" s="14" t="inlineStr">
        <is>
          <t>xG away (pre)</t>
        </is>
      </c>
      <c r="C24" s="15">
        <f>EXP(Ratings!$F$1+$C$19-$C$18+Ratings!$F$2*$C$22)</f>
        <v/>
      </c>
    </row>
    <row r="25">
      <c r="B25" s="14" t="inlineStr">
        <is>
          <t>mins-left frac</t>
        </is>
      </c>
      <c r="C25" s="15">
        <f>MAX(0,(94-$C$9)/90)</f>
        <v/>
      </c>
    </row>
    <row r="26">
      <c r="B26" s="14" t="inlineStr">
        <is>
          <t>remaining xG home</t>
        </is>
      </c>
      <c r="C26" s="15">
        <f>$C$23*$C$25</f>
        <v/>
      </c>
    </row>
    <row r="27">
      <c r="B27" s="14" t="inlineStr">
        <is>
          <t>remaining xG away</t>
        </is>
      </c>
      <c r="C27" s="15">
        <f>$C$24*$C$25</f>
        <v/>
      </c>
    </row>
    <row r="30">
      <c r="E30" s="16" t="inlineStr">
        <is>
          <t>i\j</t>
        </is>
      </c>
      <c r="F30" s="16" t="n">
        <v>0</v>
      </c>
      <c r="G30" s="16" t="n">
        <v>1</v>
      </c>
      <c r="H30" s="16" t="n">
        <v>2</v>
      </c>
      <c r="I30" s="16" t="n">
        <v>3</v>
      </c>
      <c r="J30" s="16" t="n">
        <v>4</v>
      </c>
      <c r="K30" s="16" t="n">
        <v>5</v>
      </c>
      <c r="L30" s="16" t="n">
        <v>6</v>
      </c>
      <c r="M30" s="16" t="n">
        <v>7</v>
      </c>
      <c r="N30" s="16" t="n">
        <v>8</v>
      </c>
    </row>
    <row r="31">
      <c r="E31" s="16" t="n">
        <v>0</v>
      </c>
      <c r="F31" s="17">
        <f>POISSON.DIST($E31,$C$27,FALSE)*POISSON.DIST(F$30,$C$28,FALSE)</f>
        <v/>
      </c>
      <c r="G31" s="17">
        <f>POISSON.DIST($E31,$C$27,FALSE)*POISSON.DIST(G$30,$C$28,FALSE)</f>
        <v/>
      </c>
      <c r="H31" s="17">
        <f>POISSON.DIST($E31,$C$27,FALSE)*POISSON.DIST(H$30,$C$28,FALSE)</f>
        <v/>
      </c>
      <c r="I31" s="17">
        <f>POISSON.DIST($E31,$C$27,FALSE)*POISSON.DIST(I$30,$C$28,FALSE)</f>
        <v/>
      </c>
      <c r="J31" s="17">
        <f>POISSON.DIST($E31,$C$27,FALSE)*POISSON.DIST(J$30,$C$28,FALSE)</f>
        <v/>
      </c>
      <c r="K31" s="17">
        <f>POISSON.DIST($E31,$C$27,FALSE)*POISSON.DIST(K$30,$C$28,FALSE)</f>
        <v/>
      </c>
      <c r="L31" s="17">
        <f>POISSON.DIST($E31,$C$27,FALSE)*POISSON.DIST(L$30,$C$28,FALSE)</f>
        <v/>
      </c>
      <c r="M31" s="17">
        <f>POISSON.DIST($E31,$C$27,FALSE)*POISSON.DIST(M$30,$C$28,FALSE)</f>
        <v/>
      </c>
      <c r="N31" s="17">
        <f>POISSON.DIST($E31,$C$27,FALSE)*POISSON.DIST(N$30,$C$28,FALSE)</f>
        <v/>
      </c>
    </row>
    <row r="32">
      <c r="E32" s="16" t="n">
        <v>1</v>
      </c>
      <c r="F32" s="17">
        <f>POISSON.DIST($E32,$C$27,FALSE)*POISSON.DIST(F$30,$C$28,FALSE)</f>
        <v/>
      </c>
      <c r="G32" s="17">
        <f>POISSON.DIST($E32,$C$27,FALSE)*POISSON.DIST(G$30,$C$28,FALSE)</f>
        <v/>
      </c>
      <c r="H32" s="17">
        <f>POISSON.DIST($E32,$C$27,FALSE)*POISSON.DIST(H$30,$C$28,FALSE)</f>
        <v/>
      </c>
      <c r="I32" s="17">
        <f>POISSON.DIST($E32,$C$27,FALSE)*POISSON.DIST(I$30,$C$28,FALSE)</f>
        <v/>
      </c>
      <c r="J32" s="17">
        <f>POISSON.DIST($E32,$C$27,FALSE)*POISSON.DIST(J$30,$C$28,FALSE)</f>
        <v/>
      </c>
      <c r="K32" s="17">
        <f>POISSON.DIST($E32,$C$27,FALSE)*POISSON.DIST(K$30,$C$28,FALSE)</f>
        <v/>
      </c>
      <c r="L32" s="17">
        <f>POISSON.DIST($E32,$C$27,FALSE)*POISSON.DIST(L$30,$C$28,FALSE)</f>
        <v/>
      </c>
      <c r="M32" s="17">
        <f>POISSON.DIST($E32,$C$27,FALSE)*POISSON.DIST(M$30,$C$28,FALSE)</f>
        <v/>
      </c>
      <c r="N32" s="17">
        <f>POISSON.DIST($E32,$C$27,FALSE)*POISSON.DIST(N$30,$C$28,FALSE)</f>
        <v/>
      </c>
    </row>
    <row r="33">
      <c r="E33" s="16" t="n">
        <v>2</v>
      </c>
      <c r="F33" s="17">
        <f>POISSON.DIST($E33,$C$27,FALSE)*POISSON.DIST(F$30,$C$28,FALSE)</f>
        <v/>
      </c>
      <c r="G33" s="17">
        <f>POISSON.DIST($E33,$C$27,FALSE)*POISSON.DIST(G$30,$C$28,FALSE)</f>
        <v/>
      </c>
      <c r="H33" s="17">
        <f>POISSON.DIST($E33,$C$27,FALSE)*POISSON.DIST(H$30,$C$28,FALSE)</f>
        <v/>
      </c>
      <c r="I33" s="17">
        <f>POISSON.DIST($E33,$C$27,FALSE)*POISSON.DIST(I$30,$C$28,FALSE)</f>
        <v/>
      </c>
      <c r="J33" s="17">
        <f>POISSON.DIST($E33,$C$27,FALSE)*POISSON.DIST(J$30,$C$28,FALSE)</f>
        <v/>
      </c>
      <c r="K33" s="17">
        <f>POISSON.DIST($E33,$C$27,FALSE)*POISSON.DIST(K$30,$C$28,FALSE)</f>
        <v/>
      </c>
      <c r="L33" s="17">
        <f>POISSON.DIST($E33,$C$27,FALSE)*POISSON.DIST(L$30,$C$28,FALSE)</f>
        <v/>
      </c>
      <c r="M33" s="17">
        <f>POISSON.DIST($E33,$C$27,FALSE)*POISSON.DIST(M$30,$C$28,FALSE)</f>
        <v/>
      </c>
      <c r="N33" s="17">
        <f>POISSON.DIST($E33,$C$27,FALSE)*POISSON.DIST(N$30,$C$28,FALSE)</f>
        <v/>
      </c>
    </row>
    <row r="34">
      <c r="E34" s="16" t="n">
        <v>3</v>
      </c>
      <c r="F34" s="17">
        <f>POISSON.DIST($E34,$C$27,FALSE)*POISSON.DIST(F$30,$C$28,FALSE)</f>
        <v/>
      </c>
      <c r="G34" s="17">
        <f>POISSON.DIST($E34,$C$27,FALSE)*POISSON.DIST(G$30,$C$28,FALSE)</f>
        <v/>
      </c>
      <c r="H34" s="17">
        <f>POISSON.DIST($E34,$C$27,FALSE)*POISSON.DIST(H$30,$C$28,FALSE)</f>
        <v/>
      </c>
      <c r="I34" s="17">
        <f>POISSON.DIST($E34,$C$27,FALSE)*POISSON.DIST(I$30,$C$28,FALSE)</f>
        <v/>
      </c>
      <c r="J34" s="17">
        <f>POISSON.DIST($E34,$C$27,FALSE)*POISSON.DIST(J$30,$C$28,FALSE)</f>
        <v/>
      </c>
      <c r="K34" s="17">
        <f>POISSON.DIST($E34,$C$27,FALSE)*POISSON.DIST(K$30,$C$28,FALSE)</f>
        <v/>
      </c>
      <c r="L34" s="17">
        <f>POISSON.DIST($E34,$C$27,FALSE)*POISSON.DIST(L$30,$C$28,FALSE)</f>
        <v/>
      </c>
      <c r="M34" s="17">
        <f>POISSON.DIST($E34,$C$27,FALSE)*POISSON.DIST(M$30,$C$28,FALSE)</f>
        <v/>
      </c>
      <c r="N34" s="17">
        <f>POISSON.DIST($E34,$C$27,FALSE)*POISSON.DIST(N$30,$C$28,FALSE)</f>
        <v/>
      </c>
    </row>
    <row r="35">
      <c r="E35" s="16" t="n">
        <v>4</v>
      </c>
      <c r="F35" s="17">
        <f>POISSON.DIST($E35,$C$27,FALSE)*POISSON.DIST(F$30,$C$28,FALSE)</f>
        <v/>
      </c>
      <c r="G35" s="17">
        <f>POISSON.DIST($E35,$C$27,FALSE)*POISSON.DIST(G$30,$C$28,FALSE)</f>
        <v/>
      </c>
      <c r="H35" s="17">
        <f>POISSON.DIST($E35,$C$27,FALSE)*POISSON.DIST(H$30,$C$28,FALSE)</f>
        <v/>
      </c>
      <c r="I35" s="17">
        <f>POISSON.DIST($E35,$C$27,FALSE)*POISSON.DIST(I$30,$C$28,FALSE)</f>
        <v/>
      </c>
      <c r="J35" s="17">
        <f>POISSON.DIST($E35,$C$27,FALSE)*POISSON.DIST(J$30,$C$28,FALSE)</f>
        <v/>
      </c>
      <c r="K35" s="17">
        <f>POISSON.DIST($E35,$C$27,FALSE)*POISSON.DIST(K$30,$C$28,FALSE)</f>
        <v/>
      </c>
      <c r="L35" s="17">
        <f>POISSON.DIST($E35,$C$27,FALSE)*POISSON.DIST(L$30,$C$28,FALSE)</f>
        <v/>
      </c>
      <c r="M35" s="17">
        <f>POISSON.DIST($E35,$C$27,FALSE)*POISSON.DIST(M$30,$C$28,FALSE)</f>
        <v/>
      </c>
      <c r="N35" s="17">
        <f>POISSON.DIST($E35,$C$27,FALSE)*POISSON.DIST(N$30,$C$28,FALSE)</f>
        <v/>
      </c>
    </row>
    <row r="36">
      <c r="E36" s="16" t="n">
        <v>5</v>
      </c>
      <c r="F36" s="17">
        <f>POISSON.DIST($E36,$C$27,FALSE)*POISSON.DIST(F$30,$C$28,FALSE)</f>
        <v/>
      </c>
      <c r="G36" s="17">
        <f>POISSON.DIST($E36,$C$27,FALSE)*POISSON.DIST(G$30,$C$28,FALSE)</f>
        <v/>
      </c>
      <c r="H36" s="17">
        <f>POISSON.DIST($E36,$C$27,FALSE)*POISSON.DIST(H$30,$C$28,FALSE)</f>
        <v/>
      </c>
      <c r="I36" s="17">
        <f>POISSON.DIST($E36,$C$27,FALSE)*POISSON.DIST(I$30,$C$28,FALSE)</f>
        <v/>
      </c>
      <c r="J36" s="17">
        <f>POISSON.DIST($E36,$C$27,FALSE)*POISSON.DIST(J$30,$C$28,FALSE)</f>
        <v/>
      </c>
      <c r="K36" s="17">
        <f>POISSON.DIST($E36,$C$27,FALSE)*POISSON.DIST(K$30,$C$28,FALSE)</f>
        <v/>
      </c>
      <c r="L36" s="17">
        <f>POISSON.DIST($E36,$C$27,FALSE)*POISSON.DIST(L$30,$C$28,FALSE)</f>
        <v/>
      </c>
      <c r="M36" s="17">
        <f>POISSON.DIST($E36,$C$27,FALSE)*POISSON.DIST(M$30,$C$28,FALSE)</f>
        <v/>
      </c>
      <c r="N36" s="17">
        <f>POISSON.DIST($E36,$C$27,FALSE)*POISSON.DIST(N$30,$C$28,FALSE)</f>
        <v/>
      </c>
    </row>
    <row r="37">
      <c r="E37" s="16" t="n">
        <v>6</v>
      </c>
      <c r="F37" s="17">
        <f>POISSON.DIST($E37,$C$27,FALSE)*POISSON.DIST(F$30,$C$28,FALSE)</f>
        <v/>
      </c>
      <c r="G37" s="17">
        <f>POISSON.DIST($E37,$C$27,FALSE)*POISSON.DIST(G$30,$C$28,FALSE)</f>
        <v/>
      </c>
      <c r="H37" s="17">
        <f>POISSON.DIST($E37,$C$27,FALSE)*POISSON.DIST(H$30,$C$28,FALSE)</f>
        <v/>
      </c>
      <c r="I37" s="17">
        <f>POISSON.DIST($E37,$C$27,FALSE)*POISSON.DIST(I$30,$C$28,FALSE)</f>
        <v/>
      </c>
      <c r="J37" s="17">
        <f>POISSON.DIST($E37,$C$27,FALSE)*POISSON.DIST(J$30,$C$28,FALSE)</f>
        <v/>
      </c>
      <c r="K37" s="17">
        <f>POISSON.DIST($E37,$C$27,FALSE)*POISSON.DIST(K$30,$C$28,FALSE)</f>
        <v/>
      </c>
      <c r="L37" s="17">
        <f>POISSON.DIST($E37,$C$27,FALSE)*POISSON.DIST(L$30,$C$28,FALSE)</f>
        <v/>
      </c>
      <c r="M37" s="17">
        <f>POISSON.DIST($E37,$C$27,FALSE)*POISSON.DIST(M$30,$C$28,FALSE)</f>
        <v/>
      </c>
      <c r="N37" s="17">
        <f>POISSON.DIST($E37,$C$27,FALSE)*POISSON.DIST(N$30,$C$28,FALSE)</f>
        <v/>
      </c>
    </row>
    <row r="38">
      <c r="E38" s="16" t="n">
        <v>7</v>
      </c>
      <c r="F38" s="17">
        <f>POISSON.DIST($E38,$C$27,FALSE)*POISSON.DIST(F$30,$C$28,FALSE)</f>
        <v/>
      </c>
      <c r="G38" s="17">
        <f>POISSON.DIST($E38,$C$27,FALSE)*POISSON.DIST(G$30,$C$28,FALSE)</f>
        <v/>
      </c>
      <c r="H38" s="17">
        <f>POISSON.DIST($E38,$C$27,FALSE)*POISSON.DIST(H$30,$C$28,FALSE)</f>
        <v/>
      </c>
      <c r="I38" s="17">
        <f>POISSON.DIST($E38,$C$27,FALSE)*POISSON.DIST(I$30,$C$28,FALSE)</f>
        <v/>
      </c>
      <c r="J38" s="17">
        <f>POISSON.DIST($E38,$C$27,FALSE)*POISSON.DIST(J$30,$C$28,FALSE)</f>
        <v/>
      </c>
      <c r="K38" s="17">
        <f>POISSON.DIST($E38,$C$27,FALSE)*POISSON.DIST(K$30,$C$28,FALSE)</f>
        <v/>
      </c>
      <c r="L38" s="17">
        <f>POISSON.DIST($E38,$C$27,FALSE)*POISSON.DIST(L$30,$C$28,FALSE)</f>
        <v/>
      </c>
      <c r="M38" s="17">
        <f>POISSON.DIST($E38,$C$27,FALSE)*POISSON.DIST(M$30,$C$28,FALSE)</f>
        <v/>
      </c>
      <c r="N38" s="17">
        <f>POISSON.DIST($E38,$C$27,FALSE)*POISSON.DIST(N$30,$C$28,FALSE)</f>
        <v/>
      </c>
    </row>
    <row r="39">
      <c r="E39" s="16" t="n">
        <v>8</v>
      </c>
      <c r="F39" s="17">
        <f>POISSON.DIST($E39,$C$27,FALSE)*POISSON.DIST(F$30,$C$28,FALSE)</f>
        <v/>
      </c>
      <c r="G39" s="17">
        <f>POISSON.DIST($E39,$C$27,FALSE)*POISSON.DIST(G$30,$C$28,FALSE)</f>
        <v/>
      </c>
      <c r="H39" s="17">
        <f>POISSON.DIST($E39,$C$27,FALSE)*POISSON.DIST(H$30,$C$28,FALSE)</f>
        <v/>
      </c>
      <c r="I39" s="17">
        <f>POISSON.DIST($E39,$C$27,FALSE)*POISSON.DIST(I$30,$C$28,FALSE)</f>
        <v/>
      </c>
      <c r="J39" s="17">
        <f>POISSON.DIST($E39,$C$27,FALSE)*POISSON.DIST(J$30,$C$28,FALSE)</f>
        <v/>
      </c>
      <c r="K39" s="17">
        <f>POISSON.DIST($E39,$C$27,FALSE)*POISSON.DIST(K$30,$C$28,FALSE)</f>
        <v/>
      </c>
      <c r="L39" s="17">
        <f>POISSON.DIST($E39,$C$27,FALSE)*POISSON.DIST(L$30,$C$28,FALSE)</f>
        <v/>
      </c>
      <c r="M39" s="17">
        <f>POISSON.DIST($E39,$C$27,FALSE)*POISSON.DIST(M$30,$C$28,FALSE)</f>
        <v/>
      </c>
      <c r="N39" s="17">
        <f>POISSON.DIST($E39,$C$27,FALSE)*POISSON.DIST(N$30,$C$28,FALSE)</f>
        <v/>
      </c>
    </row>
    <row r="42">
      <c r="E42" s="16" t="n">
        <v>0</v>
      </c>
      <c r="F42" s="17">
        <f>($C$7+$E42)-($C$8+F$30)</f>
        <v/>
      </c>
      <c r="G42" s="17">
        <f>($C$7+$E42)-($C$8+G$30)</f>
        <v/>
      </c>
      <c r="H42" s="17">
        <f>($C$7+$E42)-($C$8+H$30)</f>
        <v/>
      </c>
      <c r="I42" s="17">
        <f>($C$7+$E42)-($C$8+I$30)</f>
        <v/>
      </c>
      <c r="J42" s="17">
        <f>($C$7+$E42)-($C$8+J$30)</f>
        <v/>
      </c>
      <c r="K42" s="17">
        <f>($C$7+$E42)-($C$8+K$30)</f>
        <v/>
      </c>
      <c r="L42" s="17">
        <f>($C$7+$E42)-($C$8+L$30)</f>
        <v/>
      </c>
      <c r="M42" s="17">
        <f>($C$7+$E42)-($C$8+M$30)</f>
        <v/>
      </c>
      <c r="N42" s="17">
        <f>($C$7+$E42)-($C$8+N$30)</f>
        <v/>
      </c>
    </row>
    <row r="43">
      <c r="E43" s="16" t="n">
        <v>1</v>
      </c>
      <c r="F43" s="17">
        <f>($C$7+$E43)-($C$8+F$30)</f>
        <v/>
      </c>
      <c r="G43" s="17">
        <f>($C$7+$E43)-($C$8+G$30)</f>
        <v/>
      </c>
      <c r="H43" s="17">
        <f>($C$7+$E43)-($C$8+H$30)</f>
        <v/>
      </c>
      <c r="I43" s="17">
        <f>($C$7+$E43)-($C$8+I$30)</f>
        <v/>
      </c>
      <c r="J43" s="17">
        <f>($C$7+$E43)-($C$8+J$30)</f>
        <v/>
      </c>
      <c r="K43" s="17">
        <f>($C$7+$E43)-($C$8+K$30)</f>
        <v/>
      </c>
      <c r="L43" s="17">
        <f>($C$7+$E43)-($C$8+L$30)</f>
        <v/>
      </c>
      <c r="M43" s="17">
        <f>($C$7+$E43)-($C$8+M$30)</f>
        <v/>
      </c>
      <c r="N43" s="17">
        <f>($C$7+$E43)-($C$8+N$30)</f>
        <v/>
      </c>
    </row>
    <row r="44">
      <c r="E44" s="16" t="n">
        <v>2</v>
      </c>
      <c r="F44" s="17">
        <f>($C$7+$E44)-($C$8+F$30)</f>
        <v/>
      </c>
      <c r="G44" s="17">
        <f>($C$7+$E44)-($C$8+G$30)</f>
        <v/>
      </c>
      <c r="H44" s="17">
        <f>($C$7+$E44)-($C$8+H$30)</f>
        <v/>
      </c>
      <c r="I44" s="17">
        <f>($C$7+$E44)-($C$8+I$30)</f>
        <v/>
      </c>
      <c r="J44" s="17">
        <f>($C$7+$E44)-($C$8+J$30)</f>
        <v/>
      </c>
      <c r="K44" s="17">
        <f>($C$7+$E44)-($C$8+K$30)</f>
        <v/>
      </c>
      <c r="L44" s="17">
        <f>($C$7+$E44)-($C$8+L$30)</f>
        <v/>
      </c>
      <c r="M44" s="17">
        <f>($C$7+$E44)-($C$8+M$30)</f>
        <v/>
      </c>
      <c r="N44" s="17">
        <f>($C$7+$E44)-($C$8+N$30)</f>
        <v/>
      </c>
    </row>
    <row r="45">
      <c r="E45" s="16" t="n">
        <v>3</v>
      </c>
      <c r="F45" s="17">
        <f>($C$7+$E45)-($C$8+F$30)</f>
        <v/>
      </c>
      <c r="G45" s="17">
        <f>($C$7+$E45)-($C$8+G$30)</f>
        <v/>
      </c>
      <c r="H45" s="17">
        <f>($C$7+$E45)-($C$8+H$30)</f>
        <v/>
      </c>
      <c r="I45" s="17">
        <f>($C$7+$E45)-($C$8+I$30)</f>
        <v/>
      </c>
      <c r="J45" s="17">
        <f>($C$7+$E45)-($C$8+J$30)</f>
        <v/>
      </c>
      <c r="K45" s="17">
        <f>($C$7+$E45)-($C$8+K$30)</f>
        <v/>
      </c>
      <c r="L45" s="17">
        <f>($C$7+$E45)-($C$8+L$30)</f>
        <v/>
      </c>
      <c r="M45" s="17">
        <f>($C$7+$E45)-($C$8+M$30)</f>
        <v/>
      </c>
      <c r="N45" s="17">
        <f>($C$7+$E45)-($C$8+N$30)</f>
        <v/>
      </c>
    </row>
    <row r="46">
      <c r="E46" s="16" t="n">
        <v>4</v>
      </c>
      <c r="F46" s="17">
        <f>($C$7+$E46)-($C$8+F$30)</f>
        <v/>
      </c>
      <c r="G46" s="17">
        <f>($C$7+$E46)-($C$8+G$30)</f>
        <v/>
      </c>
      <c r="H46" s="17">
        <f>($C$7+$E46)-($C$8+H$30)</f>
        <v/>
      </c>
      <c r="I46" s="17">
        <f>($C$7+$E46)-($C$8+I$30)</f>
        <v/>
      </c>
      <c r="J46" s="17">
        <f>($C$7+$E46)-($C$8+J$30)</f>
        <v/>
      </c>
      <c r="K46" s="17">
        <f>($C$7+$E46)-($C$8+K$30)</f>
        <v/>
      </c>
      <c r="L46" s="17">
        <f>($C$7+$E46)-($C$8+L$30)</f>
        <v/>
      </c>
      <c r="M46" s="17">
        <f>($C$7+$E46)-($C$8+M$30)</f>
        <v/>
      </c>
      <c r="N46" s="17">
        <f>($C$7+$E46)-($C$8+N$30)</f>
        <v/>
      </c>
    </row>
    <row r="47">
      <c r="E47" s="16" t="n">
        <v>5</v>
      </c>
      <c r="F47" s="17">
        <f>($C$7+$E47)-($C$8+F$30)</f>
        <v/>
      </c>
      <c r="G47" s="17">
        <f>($C$7+$E47)-($C$8+G$30)</f>
        <v/>
      </c>
      <c r="H47" s="17">
        <f>($C$7+$E47)-($C$8+H$30)</f>
        <v/>
      </c>
      <c r="I47" s="17">
        <f>($C$7+$E47)-($C$8+I$30)</f>
        <v/>
      </c>
      <c r="J47" s="17">
        <f>($C$7+$E47)-($C$8+J$30)</f>
        <v/>
      </c>
      <c r="K47" s="17">
        <f>($C$7+$E47)-($C$8+K$30)</f>
        <v/>
      </c>
      <c r="L47" s="17">
        <f>($C$7+$E47)-($C$8+L$30)</f>
        <v/>
      </c>
      <c r="M47" s="17">
        <f>($C$7+$E47)-($C$8+M$30)</f>
        <v/>
      </c>
      <c r="N47" s="17">
        <f>($C$7+$E47)-($C$8+N$30)</f>
        <v/>
      </c>
    </row>
    <row r="48">
      <c r="E48" s="16" t="n">
        <v>6</v>
      </c>
      <c r="F48" s="17">
        <f>($C$7+$E48)-($C$8+F$30)</f>
        <v/>
      </c>
      <c r="G48" s="17">
        <f>($C$7+$E48)-($C$8+G$30)</f>
        <v/>
      </c>
      <c r="H48" s="17">
        <f>($C$7+$E48)-($C$8+H$30)</f>
        <v/>
      </c>
      <c r="I48" s="17">
        <f>($C$7+$E48)-($C$8+I$30)</f>
        <v/>
      </c>
      <c r="J48" s="17">
        <f>($C$7+$E48)-($C$8+J$30)</f>
        <v/>
      </c>
      <c r="K48" s="17">
        <f>($C$7+$E48)-($C$8+K$30)</f>
        <v/>
      </c>
      <c r="L48" s="17">
        <f>($C$7+$E48)-($C$8+L$30)</f>
        <v/>
      </c>
      <c r="M48" s="17">
        <f>($C$7+$E48)-($C$8+M$30)</f>
        <v/>
      </c>
      <c r="N48" s="17">
        <f>($C$7+$E48)-($C$8+N$30)</f>
        <v/>
      </c>
    </row>
    <row r="49">
      <c r="E49" s="16" t="n">
        <v>7</v>
      </c>
      <c r="F49" s="17">
        <f>($C$7+$E49)-($C$8+F$30)</f>
        <v/>
      </c>
      <c r="G49" s="17">
        <f>($C$7+$E49)-($C$8+G$30)</f>
        <v/>
      </c>
      <c r="H49" s="17">
        <f>($C$7+$E49)-($C$8+H$30)</f>
        <v/>
      </c>
      <c r="I49" s="17">
        <f>($C$7+$E49)-($C$8+I$30)</f>
        <v/>
      </c>
      <c r="J49" s="17">
        <f>($C$7+$E49)-($C$8+J$30)</f>
        <v/>
      </c>
      <c r="K49" s="17">
        <f>($C$7+$E49)-($C$8+K$30)</f>
        <v/>
      </c>
      <c r="L49" s="17">
        <f>($C$7+$E49)-($C$8+L$30)</f>
        <v/>
      </c>
      <c r="M49" s="17">
        <f>($C$7+$E49)-($C$8+M$30)</f>
        <v/>
      </c>
      <c r="N49" s="17">
        <f>($C$7+$E49)-($C$8+N$30)</f>
        <v/>
      </c>
    </row>
    <row r="50">
      <c r="E50" s="16" t="n">
        <v>8</v>
      </c>
      <c r="F50" s="17">
        <f>($C$7+$E50)-($C$8+F$30)</f>
        <v/>
      </c>
      <c r="G50" s="17">
        <f>($C$7+$E50)-($C$8+G$30)</f>
        <v/>
      </c>
      <c r="H50" s="17">
        <f>($C$7+$E50)-($C$8+H$30)</f>
        <v/>
      </c>
      <c r="I50" s="17">
        <f>($C$7+$E50)-($C$8+I$30)</f>
        <v/>
      </c>
      <c r="J50" s="17">
        <f>($C$7+$E50)-($C$8+J$30)</f>
        <v/>
      </c>
      <c r="K50" s="17">
        <f>($C$7+$E50)-($C$8+K$30)</f>
        <v/>
      </c>
      <c r="L50" s="17">
        <f>($C$7+$E50)-($C$8+L$30)</f>
        <v/>
      </c>
      <c r="M50" s="17">
        <f>($C$7+$E50)-($C$8+M$30)</f>
        <v/>
      </c>
      <c r="N50" s="17">
        <f>($C$7+$E50)-($C$8+N$30)</f>
        <v/>
      </c>
    </row>
    <row r="52">
      <c r="B52" s="14" t="inlineStr">
        <is>
          <t>model P (home/draw/away)</t>
        </is>
      </c>
    </row>
    <row r="53">
      <c r="C53" s="18">
        <f>SUMPRODUCT(($F$42:$N$50&gt;0)*$F$31:$N$39)/SUM($F$31:$N$39)</f>
        <v/>
      </c>
    </row>
    <row r="54">
      <c r="C54" s="18">
        <f>SUMPRODUCT(($F$42:$N$50=0)*$F$31:$N$39)/SUM($F$31:$N$39)</f>
        <v/>
      </c>
    </row>
    <row r="55">
      <c r="C55" s="18">
        <f>SUMPRODUCT(($F$42:$N$50&lt;0)*$F$31:$N$39)/SUM($F$31:$N$39)</f>
        <v/>
      </c>
    </row>
    <row r="57">
      <c r="C57">
        <f>IF($C$10+$C$11+$C$12&gt;0,$C$10+$C$11+$C$12,0)</f>
        <v/>
      </c>
    </row>
    <row r="58">
      <c r="C58">
        <f>IF($C$57=0,$C$53,$C$10/$C$57)</f>
        <v/>
      </c>
    </row>
    <row r="59">
      <c r="C59">
        <f>IF($C$57=0,$C$54,$C$11/$C$57)</f>
        <v/>
      </c>
    </row>
    <row r="60">
      <c r="C60">
        <f>IF($C$57=0,$C$55,$C$12/$C$57)</f>
        <v/>
      </c>
    </row>
    <row r="61">
      <c r="C61">
        <f>$C$13*$C$58+(1-$C$13)*$C$53</f>
        <v/>
      </c>
    </row>
    <row r="62">
      <c r="C62">
        <f>$C$13*$C$59+(1-$C$13)*$C$54</f>
        <v/>
      </c>
    </row>
    <row r="63">
      <c r="C63">
        <f>$C$13*$C$60+(1-$C$13)*$C$55</f>
        <v/>
      </c>
    </row>
    <row r="64">
      <c r="C64">
        <f>$C$61+$C$62+$C$63</f>
        <v/>
      </c>
    </row>
  </sheetData>
  <mergeCells count="9">
    <mergeCell ref="H12:J13"/>
    <mergeCell ref="B16:C16"/>
    <mergeCell ref="E11:J11"/>
    <mergeCell ref="E14:J14"/>
    <mergeCell ref="B1:J1"/>
    <mergeCell ref="E12:G13"/>
    <mergeCell ref="E4:J4"/>
    <mergeCell ref="B4:C4"/>
    <mergeCell ref="B2:J2"/>
  </mergeCells>
  <dataValidations count="1">
    <dataValidation sqref="C5 C6" showDropDown="0" showInputMessage="0" showErrorMessage="0" allowBlank="0" type="list">
      <formula1>=Ratings!$A$2:$A$49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Team</t>
        </is>
      </c>
      <c r="B1" s="4" t="inlineStr">
        <is>
          <t>attack</t>
        </is>
      </c>
      <c r="C1" s="4" t="inlineStr">
        <is>
          <t>defence</t>
        </is>
      </c>
      <c r="E1" s="4" t="inlineStr">
        <is>
          <t>c</t>
        </is>
      </c>
      <c r="F1" t="n">
        <v>0.315448337252043</v>
      </c>
      <c r="H1" s="4" t="inlineStr">
        <is>
          <t>Hosts</t>
        </is>
      </c>
    </row>
    <row r="2">
      <c r="A2" t="inlineStr">
        <is>
          <t>Algeria</t>
        </is>
      </c>
      <c r="B2" t="n">
        <v>0.6732</v>
      </c>
      <c r="C2" t="n">
        <v>0.6454</v>
      </c>
      <c r="E2" s="4" t="inlineStr">
        <is>
          <t>gamma(home)</t>
        </is>
      </c>
      <c r="F2" t="n">
        <v>0.2624369027778981</v>
      </c>
      <c r="H2" t="inlineStr">
        <is>
          <t>United States</t>
        </is>
      </c>
      <c r="J2" s="19" t="inlineStr">
        <is>
          <t>Ratings exported from the fitted Dixon-Coles model (re-run scripts/build_excel.py after each daily refit to refresh).</t>
        </is>
      </c>
    </row>
    <row r="3">
      <c r="A3" t="inlineStr">
        <is>
          <t>Argentina</t>
        </is>
      </c>
      <c r="B3" t="n">
        <v>1.0481</v>
      </c>
      <c r="C3" t="n">
        <v>1.3125</v>
      </c>
      <c r="H3" t="inlineStr">
        <is>
          <t>Mexico</t>
        </is>
      </c>
    </row>
    <row r="4">
      <c r="A4" t="inlineStr">
        <is>
          <t>Australia</t>
        </is>
      </c>
      <c r="B4" t="n">
        <v>0.6393</v>
      </c>
      <c r="C4" t="n">
        <v>0.8167</v>
      </c>
      <c r="H4" t="inlineStr">
        <is>
          <t>Canada</t>
        </is>
      </c>
    </row>
    <row r="5">
      <c r="A5" t="inlineStr">
        <is>
          <t>Austria</t>
        </is>
      </c>
      <c r="B5" t="n">
        <v>0.6287</v>
      </c>
      <c r="C5" t="n">
        <v>0.6771</v>
      </c>
    </row>
    <row r="6">
      <c r="A6" t="inlineStr">
        <is>
          <t>Belgium</t>
        </is>
      </c>
      <c r="B6" t="n">
        <v>0.9358</v>
      </c>
      <c r="C6" t="n">
        <v>0.8818</v>
      </c>
    </row>
    <row r="7">
      <c r="A7" t="inlineStr">
        <is>
          <t>Bosnia and Herzegovina</t>
        </is>
      </c>
      <c r="B7" t="n">
        <v>0.3313</v>
      </c>
      <c r="C7" t="n">
        <v>0.3856</v>
      </c>
    </row>
    <row r="8">
      <c r="A8" t="inlineStr">
        <is>
          <t>Brazil</t>
        </is>
      </c>
      <c r="B8" t="n">
        <v>1.1006</v>
      </c>
      <c r="C8" t="n">
        <v>1.2263</v>
      </c>
    </row>
    <row r="9">
      <c r="A9" t="inlineStr">
        <is>
          <t>Canada</t>
        </is>
      </c>
      <c r="B9" t="n">
        <v>0.6323</v>
      </c>
      <c r="C9" t="n">
        <v>0.7228</v>
      </c>
    </row>
    <row r="10">
      <c r="A10" t="inlineStr">
        <is>
          <t>Cape Verde</t>
        </is>
      </c>
      <c r="B10" t="n">
        <v>0.156</v>
      </c>
      <c r="C10" t="n">
        <v>0.4863</v>
      </c>
    </row>
    <row r="11">
      <c r="A11" t="inlineStr">
        <is>
          <t>Colombia</t>
        </is>
      </c>
      <c r="B11" t="n">
        <v>0.8986</v>
      </c>
      <c r="C11" t="n">
        <v>1.0655</v>
      </c>
    </row>
    <row r="12">
      <c r="A12" t="inlineStr">
        <is>
          <t>Croatia</t>
        </is>
      </c>
      <c r="B12" t="n">
        <v>0.7678</v>
      </c>
      <c r="C12" t="n">
        <v>0.7926</v>
      </c>
    </row>
    <row r="13">
      <c r="A13" t="inlineStr">
        <is>
          <t>Curaçao</t>
        </is>
      </c>
      <c r="B13" t="n">
        <v>0.1313</v>
      </c>
      <c r="C13" t="n">
        <v>0.1314</v>
      </c>
    </row>
    <row r="14">
      <c r="A14" t="inlineStr">
        <is>
          <t>Czech Republic</t>
        </is>
      </c>
      <c r="B14" t="n">
        <v>0.5274</v>
      </c>
      <c r="C14" t="n">
        <v>0.5664</v>
      </c>
    </row>
    <row r="15">
      <c r="A15" t="inlineStr">
        <is>
          <t>DR Congo</t>
        </is>
      </c>
      <c r="B15" t="n">
        <v>0.2694</v>
      </c>
      <c r="C15" t="n">
        <v>0.6197</v>
      </c>
    </row>
    <row r="16">
      <c r="A16" t="inlineStr">
        <is>
          <t>Ecuador</t>
        </is>
      </c>
      <c r="B16" t="n">
        <v>0.5703</v>
      </c>
      <c r="C16" t="n">
        <v>1.0024</v>
      </c>
    </row>
    <row r="17">
      <c r="A17" t="inlineStr">
        <is>
          <t>Egypt</t>
        </is>
      </c>
      <c r="B17" t="n">
        <v>0.4365</v>
      </c>
      <c r="C17" t="n">
        <v>0.7864</v>
      </c>
    </row>
    <row r="18">
      <c r="A18" t="inlineStr">
        <is>
          <t>England</t>
        </is>
      </c>
      <c r="B18" t="n">
        <v>0.9379999999999999</v>
      </c>
      <c r="C18" t="n">
        <v>1.1401</v>
      </c>
    </row>
    <row r="19">
      <c r="A19" t="inlineStr">
        <is>
          <t>France</t>
        </is>
      </c>
      <c r="B19" t="n">
        <v>0.9651999999999999</v>
      </c>
      <c r="C19" t="n">
        <v>1.053</v>
      </c>
    </row>
    <row r="20">
      <c r="A20" t="inlineStr">
        <is>
          <t>Germany</t>
        </is>
      </c>
      <c r="B20" t="n">
        <v>1.0958</v>
      </c>
      <c r="C20" t="n">
        <v>0.8089</v>
      </c>
    </row>
    <row r="21">
      <c r="A21" t="inlineStr">
        <is>
          <t>Ghana</t>
        </is>
      </c>
      <c r="B21" t="n">
        <v>0.3439</v>
      </c>
      <c r="C21" t="n">
        <v>0.5423</v>
      </c>
    </row>
    <row r="22">
      <c r="A22" t="inlineStr">
        <is>
          <t>Haiti</t>
        </is>
      </c>
      <c r="B22" t="n">
        <v>0.3604</v>
      </c>
      <c r="C22" t="n">
        <v>0.2297</v>
      </c>
    </row>
    <row r="23">
      <c r="A23" t="inlineStr">
        <is>
          <t>Iran</t>
        </is>
      </c>
      <c r="B23" t="n">
        <v>0.6387</v>
      </c>
      <c r="C23" t="n">
        <v>0.8565</v>
      </c>
    </row>
    <row r="24">
      <c r="A24" t="inlineStr">
        <is>
          <t>Iraq</t>
        </is>
      </c>
      <c r="B24" t="n">
        <v>0.2173</v>
      </c>
      <c r="C24" t="n">
        <v>0.5193</v>
      </c>
    </row>
    <row r="25">
      <c r="A25" t="inlineStr">
        <is>
          <t>Ivory Coast</t>
        </is>
      </c>
      <c r="B25" t="n">
        <v>0.5259</v>
      </c>
      <c r="C25" t="n">
        <v>0.7637</v>
      </c>
    </row>
    <row r="26">
      <c r="A26" t="inlineStr">
        <is>
          <t>Japan</t>
        </is>
      </c>
      <c r="B26" t="n">
        <v>0.8428</v>
      </c>
      <c r="C26" t="n">
        <v>0.8611</v>
      </c>
    </row>
    <row r="27">
      <c r="A27" t="inlineStr">
        <is>
          <t>Jordan</t>
        </is>
      </c>
      <c r="B27" t="n">
        <v>0.3653</v>
      </c>
      <c r="C27" t="n">
        <v>0.4485</v>
      </c>
    </row>
    <row r="28">
      <c r="A28" t="inlineStr">
        <is>
          <t>Mexico</t>
        </is>
      </c>
      <c r="B28" t="n">
        <v>0.6764</v>
      </c>
      <c r="C28" t="n">
        <v>0.8835</v>
      </c>
    </row>
    <row r="29">
      <c r="A29" t="inlineStr">
        <is>
          <t>Morocco</t>
        </is>
      </c>
      <c r="B29" t="n">
        <v>0.6272</v>
      </c>
      <c r="C29" t="n">
        <v>1.1308</v>
      </c>
    </row>
    <row r="30">
      <c r="A30" t="inlineStr">
        <is>
          <t>Netherlands</t>
        </is>
      </c>
      <c r="B30" t="n">
        <v>1.0052</v>
      </c>
      <c r="C30" t="n">
        <v>0.854</v>
      </c>
    </row>
    <row r="31">
      <c r="A31" t="inlineStr">
        <is>
          <t>New Zealand</t>
        </is>
      </c>
      <c r="B31" t="n">
        <v>0.4481</v>
      </c>
      <c r="C31" t="n">
        <v>0.4411</v>
      </c>
    </row>
    <row r="32">
      <c r="A32" t="inlineStr">
        <is>
          <t>Norway</t>
        </is>
      </c>
      <c r="B32" t="n">
        <v>0.7693</v>
      </c>
      <c r="C32" t="n">
        <v>0.6485</v>
      </c>
    </row>
    <row r="33">
      <c r="A33" t="inlineStr">
        <is>
          <t>Panama</t>
        </is>
      </c>
      <c r="B33" t="n">
        <v>0.4157</v>
      </c>
      <c r="C33" t="n">
        <v>0.4565</v>
      </c>
    </row>
    <row r="34">
      <c r="A34" t="inlineStr">
        <is>
          <t>Paraguay</t>
        </is>
      </c>
      <c r="B34" t="n">
        <v>0.4317</v>
      </c>
      <c r="C34" t="n">
        <v>0.7837</v>
      </c>
    </row>
    <row r="35">
      <c r="A35" t="inlineStr">
        <is>
          <t>Portugal</t>
        </is>
      </c>
      <c r="B35" t="n">
        <v>0.9805</v>
      </c>
      <c r="C35" t="n">
        <v>0.9879</v>
      </c>
    </row>
    <row r="36">
      <c r="A36" t="inlineStr">
        <is>
          <t>Qatar</t>
        </is>
      </c>
      <c r="B36" t="n">
        <v>0.3612</v>
      </c>
      <c r="C36" t="n">
        <v>0.2567</v>
      </c>
    </row>
    <row r="37">
      <c r="A37" t="inlineStr">
        <is>
          <t>Saudi Arabia</t>
        </is>
      </c>
      <c r="B37" t="n">
        <v>0.274</v>
      </c>
      <c r="C37" t="n">
        <v>0.5486</v>
      </c>
    </row>
    <row r="38">
      <c r="A38" t="inlineStr">
        <is>
          <t>Scotland</t>
        </is>
      </c>
      <c r="B38" t="n">
        <v>0.4701</v>
      </c>
      <c r="C38" t="n">
        <v>0.6163999999999999</v>
      </c>
    </row>
    <row r="39">
      <c r="A39" t="inlineStr">
        <is>
          <t>Senegal</t>
        </is>
      </c>
      <c r="B39" t="n">
        <v>0.5938</v>
      </c>
      <c r="C39" t="n">
        <v>0.7763</v>
      </c>
    </row>
    <row r="40">
      <c r="A40" t="inlineStr">
        <is>
          <t>South Africa</t>
        </is>
      </c>
      <c r="B40" t="n">
        <v>0.2142</v>
      </c>
      <c r="C40" t="n">
        <v>0.5896</v>
      </c>
    </row>
    <row r="41">
      <c r="A41" t="inlineStr">
        <is>
          <t>South Korea</t>
        </is>
      </c>
      <c r="B41" t="n">
        <v>0.6032999999999999</v>
      </c>
      <c r="C41" t="n">
        <v>0.752</v>
      </c>
    </row>
    <row r="42">
      <c r="A42" t="inlineStr">
        <is>
          <t>Spain</t>
        </is>
      </c>
      <c r="B42" t="n">
        <v>1.1299</v>
      </c>
      <c r="C42" t="n">
        <v>1.1449</v>
      </c>
    </row>
    <row r="43">
      <c r="A43" t="inlineStr">
        <is>
          <t>Sweden</t>
        </is>
      </c>
      <c r="B43" t="n">
        <v>0.7036</v>
      </c>
      <c r="C43" t="n">
        <v>0.5794</v>
      </c>
    </row>
    <row r="44">
      <c r="A44" t="inlineStr">
        <is>
          <t>Switzerland</t>
        </is>
      </c>
      <c r="B44" t="n">
        <v>0.7704</v>
      </c>
      <c r="C44" t="n">
        <v>0.7707000000000001</v>
      </c>
    </row>
    <row r="45">
      <c r="A45" t="inlineStr">
        <is>
          <t>Tunisia</t>
        </is>
      </c>
      <c r="B45" t="n">
        <v>0.3814</v>
      </c>
      <c r="C45" t="n">
        <v>0.6259</v>
      </c>
    </row>
    <row r="46">
      <c r="A46" t="inlineStr">
        <is>
          <t>Turkey</t>
        </is>
      </c>
      <c r="B46" t="n">
        <v>0.652</v>
      </c>
      <c r="C46" t="n">
        <v>0.5447</v>
      </c>
    </row>
    <row r="47">
      <c r="A47" t="inlineStr">
        <is>
          <t>United States</t>
        </is>
      </c>
      <c r="B47" t="n">
        <v>0.6894</v>
      </c>
      <c r="C47" t="n">
        <v>0.7224</v>
      </c>
    </row>
    <row r="48">
      <c r="A48" t="inlineStr">
        <is>
          <t>Uruguay</t>
        </is>
      </c>
      <c r="B48" t="n">
        <v>0.7665</v>
      </c>
      <c r="C48" t="n">
        <v>1.0151</v>
      </c>
    </row>
    <row r="49">
      <c r="A49" t="inlineStr">
        <is>
          <t>Uzbekistan</t>
        </is>
      </c>
      <c r="B49" t="n">
        <v>0.3918</v>
      </c>
      <c r="C49" t="n">
        <v>0.6813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0" t="inlineStr">
        <is>
          <t>HOW TO USE — 2026 World Cup Live Odds Calculator</t>
        </is>
      </c>
    </row>
    <row r="2">
      <c r="A2" s="21" t="inlineStr"/>
    </row>
    <row r="3">
      <c r="A3" s="21" t="inlineStr">
        <is>
          <t>1.  Go to the 'Live Calculator' tab. Only type in the YELLOW cells.</t>
        </is>
      </c>
    </row>
    <row r="4">
      <c r="A4" s="21" t="inlineStr">
        <is>
          <t>2.  Pick Home team and Away team from the dropdowns (use the same spelling as the model).</t>
        </is>
      </c>
    </row>
    <row r="5">
      <c r="A5" s="21" t="inlineStr">
        <is>
          <t>3.  Enter the CURRENT score and the MINUTE (0 = kickoff, 94 = full time). As the game</t>
        </is>
      </c>
    </row>
    <row r="6">
      <c r="A6" s="21" t="inlineStr">
        <is>
          <t xml:space="preserve">     changes, update these and every number recalculates instantly.</t>
        </is>
      </c>
    </row>
    <row r="7">
      <c r="A7" s="21" t="inlineStr">
        <is>
          <t>4.  Enter the live Polymarket prices as decimals (27¢ → 0.27) for Home win, Draw, Away win.</t>
        </is>
      </c>
    </row>
    <row r="8">
      <c r="A8" s="21" t="inlineStr">
        <is>
          <t xml:space="preserve">     Leave them at 0 to see the model-only view.</t>
        </is>
      </c>
    </row>
    <row r="9">
      <c r="A9" s="21" t="inlineStr">
        <is>
          <t>5.  Read the GREEN cells: the blended fair probabilities, the big DRAW % box, and the verdict.</t>
        </is>
      </c>
    </row>
    <row r="10">
      <c r="A10" s="21" t="inlineStr"/>
    </row>
    <row r="11">
      <c r="A11" s="20" t="inlineStr">
        <is>
          <t>WHAT THE NUMBERS MEAN</t>
        </is>
      </c>
    </row>
    <row r="12">
      <c r="A12" s="21" t="inlineStr">
        <is>
          <t>• Model   = the Dixon-Coles engine using the two teams + current score + minutes left.</t>
        </is>
      </c>
    </row>
    <row r="13">
      <c r="A13" s="21" t="inlineStr">
        <is>
          <t>• Market  = Polymarket's prices with the bookmaker margin removed ('de-vigged').</t>
        </is>
      </c>
    </row>
    <row r="14">
      <c r="A14" s="21" t="inlineStr">
        <is>
          <t>• Blended = the two combined (default 60% market / 40% model) — your fair estimate.</t>
        </is>
      </c>
    </row>
    <row r="15">
      <c r="A15" s="21" t="inlineStr">
        <is>
          <t>• Edge    = Blended fair − Price paid. Positive = underpriced (BUY). Need &gt; +4% to act</t>
        </is>
      </c>
    </row>
    <row r="16">
      <c r="A16" s="21" t="inlineStr">
        <is>
          <t xml:space="preserve">            (covers spread/fees/model error).</t>
        </is>
      </c>
    </row>
    <row r="17">
      <c r="A17" s="21" t="inlineStr">
        <is>
          <t>• Blend weight: raise toward 0.8 in deep/liquid markets; lower toward 0.4 in thin ones.</t>
        </is>
      </c>
    </row>
    <row r="18">
      <c r="A18" s="21" t="inlineStr"/>
    </row>
    <row r="19">
      <c r="A19" s="20" t="inlineStr">
        <is>
          <t>KEEPING IT CURRENT</t>
        </is>
      </c>
    </row>
    <row r="20">
      <c r="A20" s="21" t="inlineStr">
        <is>
          <t>• The team ratings live on the 'Ratings' tab. After each daily model refit, re-run</t>
        </is>
      </c>
    </row>
    <row r="21">
      <c r="A21" s="21" t="inlineStr">
        <is>
          <t xml:space="preserve">  scripts/build_excel.py to refresh them (or paste new attack/defence values in).</t>
        </is>
      </c>
    </row>
    <row r="22">
      <c r="A22" s="21" t="inlineStr">
        <is>
          <t>• For LIVE auto-pulled Polymarket prices, run scripts/polymarket_live.py (see project README).</t>
        </is>
      </c>
    </row>
    <row r="23">
      <c r="A23" s="21" t="inlineStr"/>
    </row>
    <row r="24">
      <c r="A24" s="20" t="inlineStr">
        <is>
          <t>IMPORTANT</t>
        </is>
      </c>
    </row>
    <row r="25">
      <c r="A25" s="21" t="inlineStr">
        <is>
          <t>• This is a forecasting aid, not a guarantee. It cannot see injuries, red cards, momentum.</t>
        </is>
      </c>
    </row>
    <row r="26">
      <c r="A26" s="21" t="inlineStr">
        <is>
          <t>• Bet responsibly and only what you can afford to 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2026-06-23T04:17:17Z</dcterms:created>
  <dcterms:modified xsi:type="dcterms:W3CDTF">2026-06-23T04:17:17Z</dcterms:modified>
</cp:coreProperties>
</file>